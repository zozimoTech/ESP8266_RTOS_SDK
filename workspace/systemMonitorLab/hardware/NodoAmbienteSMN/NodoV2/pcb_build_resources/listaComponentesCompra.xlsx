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esp\ESP8266_RTOS_SDK\workspace\systemMonitorLab\hardware\NodoAmbienteSMN\NodoV2\pcb_build_resources\"/>
    </mc:Choice>
  </mc:AlternateContent>
  <xr:revisionPtr revIDLastSave="0" documentId="13_ncr:1_{C4720F24-BB23-4B76-BBD3-928A9D32DC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ComponentesCompra" sheetId="1" r:id="rId1"/>
    <sheet name="BO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B5" i="1"/>
  <c r="F5" i="1" s="1"/>
  <c r="B4" i="1"/>
  <c r="F20" i="1" l="1"/>
  <c r="E2" i="1"/>
  <c r="B3" i="1"/>
  <c r="B6" i="1"/>
  <c r="F6" i="1" s="1"/>
  <c r="B7" i="1"/>
  <c r="F7" i="1" s="1"/>
  <c r="B8" i="1"/>
  <c r="F8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5" i="1"/>
  <c r="F15" i="1" s="1"/>
  <c r="B16" i="1"/>
  <c r="F16" i="1" s="1"/>
  <c r="B17" i="1"/>
  <c r="F17" i="1" s="1"/>
  <c r="B18" i="1"/>
  <c r="F18" i="1" s="1"/>
  <c r="B19" i="1"/>
  <c r="F19" i="1" s="1"/>
  <c r="B20" i="1"/>
  <c r="B2" i="1"/>
  <c r="E4" i="1"/>
  <c r="F4" i="1" s="1"/>
  <c r="E3" i="1"/>
  <c r="F3" i="1" s="1"/>
  <c r="G18" i="2"/>
  <c r="G17" i="2"/>
  <c r="G16" i="2"/>
  <c r="G15" i="2"/>
  <c r="G14" i="2"/>
  <c r="G13" i="2"/>
  <c r="G12" i="2"/>
  <c r="G11" i="2"/>
  <c r="F10" i="2"/>
  <c r="G10" i="2" s="1"/>
  <c r="F9" i="2"/>
  <c r="G9" i="2" s="1"/>
  <c r="F8" i="2"/>
  <c r="G8" i="2" s="1"/>
  <c r="G7" i="2"/>
  <c r="F6" i="2"/>
  <c r="G6" i="2" s="1"/>
  <c r="F5" i="2"/>
  <c r="G5" i="2" s="1"/>
  <c r="F4" i="2"/>
  <c r="G4" i="2" s="1"/>
  <c r="G3" i="2"/>
  <c r="G2" i="2"/>
  <c r="F2" i="1" l="1"/>
</calcChain>
</file>

<file path=xl/sharedStrings.xml><?xml version="1.0" encoding="utf-8"?>
<sst xmlns="http://schemas.openxmlformats.org/spreadsheetml/2006/main" count="106" uniqueCount="75">
  <si>
    <t>Reference</t>
  </si>
  <si>
    <t>Qty</t>
  </si>
  <si>
    <t>Value</t>
  </si>
  <si>
    <t>Footprint</t>
  </si>
  <si>
    <t>Datasheet</t>
  </si>
  <si>
    <t>D1</t>
  </si>
  <si>
    <t>LED_YELLOW</t>
  </si>
  <si>
    <t>LED_THT:LED_D3.0mm</t>
  </si>
  <si>
    <t>~</t>
  </si>
  <si>
    <t>D2</t>
  </si>
  <si>
    <t>LED_Dual_AKA</t>
  </si>
  <si>
    <t>LED_THT:LED_D3.0mm-3</t>
  </si>
  <si>
    <t>J1</t>
  </si>
  <si>
    <t>Molex_MainBoard_DHT22</t>
  </si>
  <si>
    <t>Connector_PinHeader_2.54mm:PinHeader_1x04_P2.54mm_Horizontal</t>
  </si>
  <si>
    <t>J2</t>
  </si>
  <si>
    <t>Molex_MainBoard_BMP280</t>
  </si>
  <si>
    <t>J3</t>
  </si>
  <si>
    <t>Molex_MainBoard_Led_Status</t>
  </si>
  <si>
    <t>J4</t>
  </si>
  <si>
    <t>J5</t>
  </si>
  <si>
    <t>Molex_Sensor_BMP280</t>
  </si>
  <si>
    <t>J6</t>
  </si>
  <si>
    <t>Molex_Sensor_DHT22</t>
  </si>
  <si>
    <t>J7</t>
  </si>
  <si>
    <t>Molex_Led_Status</t>
  </si>
  <si>
    <t>Q1-Q2-Q3</t>
  </si>
  <si>
    <t>NPN</t>
  </si>
  <si>
    <t>Package_TO_SOT_SMD:SOT-23</t>
  </si>
  <si>
    <t>https://ngspice.sourceforge.io/docs/ngspice-html-manual/manual.xhtml#cha_BJTs</t>
  </si>
  <si>
    <t>R1</t>
  </si>
  <si>
    <t>5K6</t>
  </si>
  <si>
    <t>Resistor_SMD:R_1206_3216Metric</t>
  </si>
  <si>
    <t>R2-R4-R7</t>
  </si>
  <si>
    <t>1k</t>
  </si>
  <si>
    <t>R3</t>
  </si>
  <si>
    <t>R5-R6</t>
  </si>
  <si>
    <t>U1</t>
  </si>
  <si>
    <t>NodeMcuEsp8266</t>
  </si>
  <si>
    <t>Module_commercial:ESP8266_v3</t>
  </si>
  <si>
    <t>U2</t>
  </si>
  <si>
    <t>Bmp280Module</t>
  </si>
  <si>
    <t>Sensors_commercial:BMP280_Module</t>
  </si>
  <si>
    <t>U3</t>
  </si>
  <si>
    <t>DHT22</t>
  </si>
  <si>
    <t>Sensor:Aosong_DHT11_5.5x12.0_P2.54mm</t>
  </si>
  <si>
    <t>Precio unidad</t>
  </si>
  <si>
    <t>Precio total</t>
  </si>
  <si>
    <t>Proveedor link</t>
  </si>
  <si>
    <t>https://www.sycelectronica.com.ar/articulo.php?codigo=WF4R</t>
  </si>
  <si>
    <t>https://www.sycelectronica.com.ar/articulo.php?codigo=HUT</t>
  </si>
  <si>
    <t>TERMINAL CRIMPEABLE EN ROLLO</t>
  </si>
  <si>
    <t>MACHO .100" P/CI 4 VIAS 90*</t>
  </si>
  <si>
    <t>HEMBRA A CABLE .1" 4 V</t>
  </si>
  <si>
    <t>https://www.sycelectronica.com.ar/articulo.php?codigo=HU4</t>
  </si>
  <si>
    <t>Qty 1 nodo</t>
  </si>
  <si>
    <t>Qty Total
 6 nodos</t>
  </si>
  <si>
    <t>WF2R
MACHO .100" P/CI 2 VIAS 90*</t>
  </si>
  <si>
    <t>https://www.sycelectronica.com.ar/articulo.php?codigo=WF2R</t>
  </si>
  <si>
    <t>DC 5V</t>
  </si>
  <si>
    <t>Connector_PinHeader_2.54mm:PinHeader_1x02_P2.54mm_Horizontal</t>
  </si>
  <si>
    <t>https://www.electrocomponentes.com/tienda/componentes-electronicos/conectores/jackdc21rosca?q=JACKDC2.1ROSCA</t>
  </si>
  <si>
    <t>ConectorDCRoscaHembra</t>
  </si>
  <si>
    <t>https://www.sycelectronica.com.ar/articulo.php?codigo=BC847B</t>
  </si>
  <si>
    <t>BC847B
NPN 100MA 50V SMD (SOT-23)</t>
  </si>
  <si>
    <t xml:space="preserve">RESISTOR SMD 1206 100PCS 5K6
</t>
  </si>
  <si>
    <t>https://www.sycelectronica.com.ar/articulo.php?codigo=CR1206-5K6</t>
  </si>
  <si>
    <t>CR1206-1K
RESISTOR SMD 1206 100PCS 1K</t>
  </si>
  <si>
    <t>https://www.sycelectronica.com.ar/articulo.php?codigo=CR1206-1K</t>
  </si>
  <si>
    <t>CR1206-100
RESISTOR SMD 1206 100PCS 100E</t>
  </si>
  <si>
    <t>https://www.sycelectronica.com.ar/articulo.php?codigo=CR1206-100</t>
  </si>
  <si>
    <t>CR1206-47
RESISTOR SMD 1206 100PCS 47E (En lugar de 39 Ohm)</t>
  </si>
  <si>
    <t>https://www.sycelectronica.com.ar/articulo.php?codigo=CR1206-47</t>
  </si>
  <si>
    <t>https://www.sycelectronica.com.ar/articulo.php?codigo=FCG10C</t>
  </si>
  <si>
    <t>FCG10C
CABLE PLANO 10 VIAS COLOR (18 metros)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</si>
</sst>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9">
    <xf numFmtId="0" fontId="0" fillId="0" borderId="0" xfId="0"/>
    <xf numFmtId="0" fontId="16" fillId="33" borderId="10" xfId="0" applyFont="1" applyFill="1" applyBorder="1"/>
    <xf numFmtId="0" fontId="19" fillId="0" borderId="0" xfId="0" applyFont="1"/>
    <xf numFmtId="0" fontId="0" fillId="36" borderId="10" xfId="0" applyFill="1" applyBorder="1"/>
    <xf numFmtId="0" fontId="18" fillId="36" borderId="10" xfId="42" applyFill="1" applyBorder="1"/>
    <xf numFmtId="0" fontId="0" fillId="0" borderId="0" xfId="0" applyAlignment="1">
      <alignment horizontal="center"/>
    </xf>
    <xf numFmtId="0" fontId="0" fillId="34" borderId="10" xfId="0" applyFill="1" applyBorder="1" applyAlignment="1">
      <alignment horizontal="center"/>
    </xf>
    <xf numFmtId="0" fontId="18" fillId="34" borderId="10" xfId="42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35" borderId="10" xfId="0" applyFill="1" applyBorder="1"/>
    <xf numFmtId="0" fontId="0" fillId="38" borderId="0" xfId="0" applyFill="1"/>
    <xf numFmtId="0" fontId="0" fillId="36" borderId="0" xfId="0" applyFill="1"/>
    <xf numFmtId="0" fontId="0" fillId="38" borderId="10" xfId="0" applyFill="1" applyBorder="1"/>
    <xf numFmtId="0" fontId="0" fillId="39" borderId="10" xfId="0" applyFill="1" applyBorder="1" applyAlignment="1">
      <alignment horizont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ycelectronica.com.ar/articulo.php?codigo=CR1206-1K" TargetMode="External"/><Relationship Id="rId3" Type="http://schemas.openxmlformats.org/officeDocument/2006/relationships/hyperlink" Target="https://www.sycelectronica.com.ar/articulo.php?codigo=HU4" TargetMode="External"/><Relationship Id="rId7" Type="http://schemas.openxmlformats.org/officeDocument/2006/relationships/hyperlink" Target="https://www.sycelectronica.com.ar/articulo.php?codigo=CR1206-5K6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sycelectronica.com.ar/articulo.php?codigo=WF4R" TargetMode="External"/><Relationship Id="rId1" Type="http://schemas.openxmlformats.org/officeDocument/2006/relationships/hyperlink" Target="https://www.sycelectronica.com.ar/articulo.php?codigo=HUT" TargetMode="External"/><Relationship Id="rId6" Type="http://schemas.openxmlformats.org/officeDocument/2006/relationships/hyperlink" Target="https://www.sycelectronica.com.ar/articulo.php?codigo=BC847B" TargetMode="External"/><Relationship Id="rId11" Type="http://schemas.openxmlformats.org/officeDocument/2006/relationships/hyperlink" Target="https://www.sycelectronica.com.ar/articulo.php?codigo=FCG10C" TargetMode="External"/><Relationship Id="rId5" Type="http://schemas.openxmlformats.org/officeDocument/2006/relationships/hyperlink" Target="https://www.electrocomponentes.com/tienda/componentes-electronicos/conectores/jackdc21rosca?q=JACKDC2.1ROSCA" TargetMode="External"/><Relationship Id="rId10" Type="http://schemas.openxmlformats.org/officeDocument/2006/relationships/hyperlink" Target="https://www.sycelectronica.com.ar/articulo.php?codigo=CR1206-47" TargetMode="External"/><Relationship Id="rId4" Type="http://schemas.openxmlformats.org/officeDocument/2006/relationships/hyperlink" Target="https://www.sycelectronica.com.ar/articulo.php?codigo=WF2R" TargetMode="External"/><Relationship Id="rId9" Type="http://schemas.openxmlformats.org/officeDocument/2006/relationships/hyperlink" Target="https://www.sycelectronica.com.ar/articulo.php?codigo=CR1206-10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ycelectronica.com.ar/articulo.php?codigo=WF4R" TargetMode="External"/><Relationship Id="rId7" Type="http://schemas.openxmlformats.org/officeDocument/2006/relationships/hyperlink" Target="https://ngspice.sourceforge.io/docs/ngspice-html-manual/manual.xhtml" TargetMode="External"/><Relationship Id="rId2" Type="http://schemas.openxmlformats.org/officeDocument/2006/relationships/hyperlink" Target="https://www.sycelectronica.com.ar/articulo.php?codigo=WF4R" TargetMode="External"/><Relationship Id="rId1" Type="http://schemas.openxmlformats.org/officeDocument/2006/relationships/hyperlink" Target="https://www.sycelectronica.com.ar/articulo.php?codigo=WF4R" TargetMode="External"/><Relationship Id="rId6" Type="http://schemas.openxmlformats.org/officeDocument/2006/relationships/hyperlink" Target="https://www.sycelectronica.com.ar/articulo.php?codigo=WF4R" TargetMode="External"/><Relationship Id="rId5" Type="http://schemas.openxmlformats.org/officeDocument/2006/relationships/hyperlink" Target="https://www.sycelectronica.com.ar/articulo.php?codigo=WF4R" TargetMode="External"/><Relationship Id="rId4" Type="http://schemas.openxmlformats.org/officeDocument/2006/relationships/hyperlink" Target="https://www.sycelectronica.com.ar/articulo.php?codigo=WF4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130" zoomScaleNormal="130" workbookViewId="0">
      <selection activeCell="C8" sqref="C8"/>
    </sheetView>
  </sheetViews>
  <sheetFormatPr baseColWidth="10" defaultRowHeight="15" x14ac:dyDescent="0.25"/>
  <cols>
    <col min="1" max="1" width="10.7109375" style="5" bestFit="1" customWidth="1"/>
    <col min="2" max="2" width="9.140625" style="5" bestFit="1" customWidth="1"/>
    <col min="3" max="3" width="22.140625" style="13" customWidth="1"/>
    <col min="4" max="4" width="58" style="5" bestFit="1" customWidth="1"/>
    <col min="5" max="5" width="13.140625" style="5" bestFit="1" customWidth="1"/>
    <col min="6" max="6" width="11.42578125" style="5"/>
    <col min="7" max="8" width="20.42578125" style="5" customWidth="1"/>
    <col min="9" max="16384" width="11.42578125" style="5"/>
  </cols>
  <sheetData>
    <row r="1" spans="1:8" s="11" customFormat="1" ht="30" x14ac:dyDescent="0.25">
      <c r="A1" s="9" t="s">
        <v>55</v>
      </c>
      <c r="B1" s="10" t="s">
        <v>56</v>
      </c>
      <c r="C1" s="10" t="s">
        <v>2</v>
      </c>
      <c r="D1" s="9" t="s">
        <v>48</v>
      </c>
      <c r="E1" s="9" t="s">
        <v>46</v>
      </c>
      <c r="F1" s="9" t="s">
        <v>47</v>
      </c>
      <c r="G1" s="9" t="s">
        <v>4</v>
      </c>
      <c r="H1" s="9"/>
    </row>
    <row r="2" spans="1:8" ht="30" x14ac:dyDescent="0.25">
      <c r="A2" s="6">
        <v>6</v>
      </c>
      <c r="B2" s="6">
        <f>A2*6</f>
        <v>36</v>
      </c>
      <c r="C2" s="18" t="s">
        <v>52</v>
      </c>
      <c r="D2" s="7" t="s">
        <v>49</v>
      </c>
      <c r="E2" s="6">
        <f>0.09*1200</f>
        <v>108</v>
      </c>
      <c r="F2" s="6">
        <f>E2*B2</f>
        <v>3888</v>
      </c>
      <c r="G2" s="6"/>
      <c r="H2" s="6"/>
    </row>
    <row r="3" spans="1:8" ht="30" x14ac:dyDescent="0.25">
      <c r="A3" s="8"/>
      <c r="B3" s="6">
        <f t="shared" ref="B3:B20" si="0">A3*6</f>
        <v>0</v>
      </c>
      <c r="C3" s="18" t="s">
        <v>51</v>
      </c>
      <c r="D3" s="7" t="s">
        <v>50</v>
      </c>
      <c r="E3" s="6">
        <f>0.04*1200</f>
        <v>48</v>
      </c>
      <c r="F3" s="6">
        <f t="shared" ref="F3:F20" si="1">E3*B3</f>
        <v>0</v>
      </c>
      <c r="G3" s="6"/>
      <c r="H3" s="6"/>
    </row>
    <row r="4" spans="1:8" ht="30" x14ac:dyDescent="0.25">
      <c r="A4" s="6">
        <v>6</v>
      </c>
      <c r="B4" s="6">
        <f>A4*6</f>
        <v>36</v>
      </c>
      <c r="C4" s="18" t="s">
        <v>53</v>
      </c>
      <c r="D4" s="7" t="s">
        <v>54</v>
      </c>
      <c r="E4" s="6">
        <f>0.05*1200</f>
        <v>60</v>
      </c>
      <c r="F4" s="6">
        <f t="shared" si="1"/>
        <v>2160</v>
      </c>
      <c r="G4" s="6"/>
      <c r="H4" s="6"/>
    </row>
    <row r="5" spans="1:8" ht="45" x14ac:dyDescent="0.25">
      <c r="A5" s="6">
        <v>1</v>
      </c>
      <c r="B5" s="6">
        <f>A5*6</f>
        <v>6</v>
      </c>
      <c r="C5" s="18" t="s">
        <v>57</v>
      </c>
      <c r="D5" s="7" t="s">
        <v>58</v>
      </c>
      <c r="E5" s="6">
        <v>66</v>
      </c>
      <c r="F5" s="6">
        <f t="shared" si="1"/>
        <v>396</v>
      </c>
      <c r="G5" s="6"/>
      <c r="H5" s="6"/>
    </row>
    <row r="6" spans="1:8" ht="30" x14ac:dyDescent="0.25">
      <c r="A6" s="6">
        <v>1</v>
      </c>
      <c r="B6" s="6">
        <f t="shared" si="0"/>
        <v>6</v>
      </c>
      <c r="C6" s="12" t="s">
        <v>62</v>
      </c>
      <c r="D6" s="7" t="s">
        <v>61</v>
      </c>
      <c r="E6" s="6">
        <v>2261</v>
      </c>
      <c r="F6" s="6">
        <f>E6*B6</f>
        <v>13566</v>
      </c>
      <c r="G6" s="6"/>
      <c r="H6" s="6"/>
    </row>
    <row r="7" spans="1:8" ht="45" x14ac:dyDescent="0.25">
      <c r="A7" s="6">
        <v>3</v>
      </c>
      <c r="B7" s="6">
        <f t="shared" si="0"/>
        <v>18</v>
      </c>
      <c r="C7" s="18" t="s">
        <v>64</v>
      </c>
      <c r="D7" s="7" t="s">
        <v>63</v>
      </c>
      <c r="E7" s="6">
        <f>0.05*1200</f>
        <v>60</v>
      </c>
      <c r="F7" s="6">
        <f t="shared" si="1"/>
        <v>1080</v>
      </c>
      <c r="G7" s="6"/>
      <c r="H7" s="6"/>
    </row>
    <row r="8" spans="1:8" ht="60" x14ac:dyDescent="0.25">
      <c r="A8" s="6">
        <v>2</v>
      </c>
      <c r="B8" s="6">
        <f t="shared" si="0"/>
        <v>12</v>
      </c>
      <c r="C8" s="18" t="s">
        <v>65</v>
      </c>
      <c r="D8" s="7" t="s">
        <v>66</v>
      </c>
      <c r="E8" s="6">
        <f>0.92*1200</f>
        <v>1104</v>
      </c>
      <c r="F8" s="6">
        <f t="shared" si="1"/>
        <v>13248</v>
      </c>
      <c r="G8" s="6"/>
      <c r="H8" s="6"/>
    </row>
    <row r="9" spans="1:8" ht="45" x14ac:dyDescent="0.25">
      <c r="A9" s="6">
        <v>3</v>
      </c>
      <c r="B9" s="6">
        <f t="shared" si="0"/>
        <v>18</v>
      </c>
      <c r="C9" s="12" t="s">
        <v>67</v>
      </c>
      <c r="D9" s="7" t="s">
        <v>68</v>
      </c>
      <c r="E9" s="6">
        <f>0.92*1200</f>
        <v>1104</v>
      </c>
      <c r="F9" s="6">
        <f t="shared" si="1"/>
        <v>19872</v>
      </c>
      <c r="G9" s="6"/>
      <c r="H9" s="6"/>
    </row>
    <row r="10" spans="1:8" ht="45" x14ac:dyDescent="0.25">
      <c r="A10" s="6">
        <v>2</v>
      </c>
      <c r="B10" s="6">
        <f t="shared" si="0"/>
        <v>12</v>
      </c>
      <c r="C10" s="18" t="s">
        <v>69</v>
      </c>
      <c r="D10" s="7" t="s">
        <v>70</v>
      </c>
      <c r="E10" s="6">
        <f>0.92*1200</f>
        <v>1104</v>
      </c>
      <c r="F10" s="6">
        <f t="shared" si="1"/>
        <v>13248</v>
      </c>
      <c r="G10" s="6"/>
      <c r="H10" s="6"/>
    </row>
    <row r="11" spans="1:8" ht="60" x14ac:dyDescent="0.25">
      <c r="A11" s="6">
        <v>3</v>
      </c>
      <c r="B11" s="6">
        <f t="shared" si="0"/>
        <v>18</v>
      </c>
      <c r="C11" s="18" t="s">
        <v>71</v>
      </c>
      <c r="D11" s="7" t="s">
        <v>72</v>
      </c>
      <c r="E11" s="6">
        <f>0.92*1200</f>
        <v>1104</v>
      </c>
      <c r="F11" s="6">
        <f t="shared" si="1"/>
        <v>19872</v>
      </c>
      <c r="G11" s="7"/>
      <c r="H11" s="7"/>
    </row>
    <row r="12" spans="1:8" ht="45" x14ac:dyDescent="0.25">
      <c r="A12" s="6">
        <v>3</v>
      </c>
      <c r="B12" s="6">
        <f t="shared" si="0"/>
        <v>18</v>
      </c>
      <c r="C12" s="18" t="s">
        <v>74</v>
      </c>
      <c r="D12" s="7" t="s">
        <v>73</v>
      </c>
      <c r="E12" s="6"/>
      <c r="F12" s="6">
        <f t="shared" si="1"/>
        <v>0</v>
      </c>
      <c r="G12" s="6"/>
      <c r="H12" s="6"/>
    </row>
    <row r="13" spans="1:8" x14ac:dyDescent="0.25">
      <c r="A13" s="6"/>
      <c r="B13" s="6">
        <f t="shared" si="0"/>
        <v>0</v>
      </c>
      <c r="C13" s="12"/>
      <c r="D13" s="6"/>
      <c r="E13" s="6"/>
      <c r="F13" s="6">
        <f t="shared" si="1"/>
        <v>0</v>
      </c>
      <c r="G13" s="6"/>
      <c r="H13" s="6"/>
    </row>
    <row r="14" spans="1:8" x14ac:dyDescent="0.25">
      <c r="A14" s="6"/>
      <c r="B14" s="6">
        <f t="shared" si="0"/>
        <v>0</v>
      </c>
      <c r="C14" s="12"/>
      <c r="D14" s="6"/>
      <c r="E14" s="6"/>
      <c r="F14" s="6">
        <f t="shared" si="1"/>
        <v>0</v>
      </c>
      <c r="G14" s="6"/>
      <c r="H14" s="6"/>
    </row>
    <row r="15" spans="1:8" x14ac:dyDescent="0.25">
      <c r="A15" s="6"/>
      <c r="B15" s="6">
        <f t="shared" si="0"/>
        <v>0</v>
      </c>
      <c r="C15" s="12"/>
      <c r="D15" s="6"/>
      <c r="E15" s="6"/>
      <c r="F15" s="6">
        <f t="shared" si="1"/>
        <v>0</v>
      </c>
      <c r="G15" s="6"/>
      <c r="H15" s="6"/>
    </row>
    <row r="16" spans="1:8" x14ac:dyDescent="0.25">
      <c r="A16" s="6"/>
      <c r="B16" s="6">
        <f t="shared" si="0"/>
        <v>0</v>
      </c>
      <c r="C16" s="12"/>
      <c r="D16" s="6"/>
      <c r="E16" s="6"/>
      <c r="F16" s="6">
        <f t="shared" si="1"/>
        <v>0</v>
      </c>
      <c r="G16" s="6"/>
      <c r="H16" s="6"/>
    </row>
    <row r="17" spans="1:8" x14ac:dyDescent="0.25">
      <c r="A17" s="6"/>
      <c r="B17" s="6">
        <f t="shared" si="0"/>
        <v>0</v>
      </c>
      <c r="C17" s="12"/>
      <c r="D17" s="6"/>
      <c r="E17" s="6"/>
      <c r="F17" s="6">
        <f t="shared" si="1"/>
        <v>0</v>
      </c>
      <c r="G17" s="6"/>
      <c r="H17" s="6"/>
    </row>
    <row r="18" spans="1:8" x14ac:dyDescent="0.25">
      <c r="A18" s="6"/>
      <c r="B18" s="6">
        <f t="shared" si="0"/>
        <v>0</v>
      </c>
      <c r="C18" s="12"/>
      <c r="D18" s="6"/>
      <c r="E18" s="6"/>
      <c r="F18" s="6">
        <f t="shared" si="1"/>
        <v>0</v>
      </c>
      <c r="G18" s="6"/>
      <c r="H18" s="6"/>
    </row>
    <row r="19" spans="1:8" x14ac:dyDescent="0.25">
      <c r="A19" s="6"/>
      <c r="B19" s="6">
        <f t="shared" si="0"/>
        <v>0</v>
      </c>
      <c r="C19" s="12"/>
      <c r="D19" s="6"/>
      <c r="E19" s="6"/>
      <c r="F19" s="6">
        <f t="shared" si="1"/>
        <v>0</v>
      </c>
      <c r="G19" s="6"/>
      <c r="H19" s="6"/>
    </row>
    <row r="20" spans="1:8" x14ac:dyDescent="0.25">
      <c r="A20" s="6"/>
      <c r="B20" s="6">
        <f t="shared" si="0"/>
        <v>0</v>
      </c>
      <c r="C20" s="12"/>
      <c r="D20" s="6"/>
      <c r="E20" s="6"/>
      <c r="F20" s="6">
        <f t="shared" si="1"/>
        <v>0</v>
      </c>
      <c r="G20" s="6"/>
      <c r="H20" s="6"/>
    </row>
  </sheetData>
  <hyperlinks>
    <hyperlink ref="D3" r:id="rId1" xr:uid="{00000000-0004-0000-0000-000000000000}"/>
    <hyperlink ref="D2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</hyperlinks>
  <pageMargins left="0.7" right="0.7" top="0.75" bottom="0.75" header="0.3" footer="0.3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zoomScale="130" zoomScaleNormal="130" workbookViewId="0">
      <selection activeCell="D4" sqref="D4"/>
    </sheetView>
  </sheetViews>
  <sheetFormatPr baseColWidth="10" defaultRowHeight="15" x14ac:dyDescent="0.25"/>
  <cols>
    <col min="1" max="1" width="10.140625" bestFit="1" customWidth="1"/>
    <col min="2" max="2" width="4.42578125" bestFit="1" customWidth="1"/>
    <col min="3" max="3" width="28.140625" bestFit="1" customWidth="1"/>
    <col min="4" max="4" width="64" bestFit="1" customWidth="1"/>
    <col min="5" max="5" width="58" bestFit="1" customWidth="1"/>
    <col min="6" max="6" width="13.140625" bestFit="1" customWidth="1"/>
    <col min="7" max="7" width="11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1" t="s">
        <v>46</v>
      </c>
      <c r="G1" s="1" t="s">
        <v>47</v>
      </c>
      <c r="H1" s="1" t="s">
        <v>4</v>
      </c>
      <c r="I1" s="1"/>
    </row>
    <row r="2" spans="1:10" x14ac:dyDescent="0.25">
      <c r="A2" s="3" t="s">
        <v>5</v>
      </c>
      <c r="B2" s="3">
        <v>1</v>
      </c>
      <c r="C2" s="14" t="s">
        <v>6</v>
      </c>
      <c r="D2" s="3" t="s">
        <v>7</v>
      </c>
      <c r="E2" s="3"/>
      <c r="F2" s="3"/>
      <c r="G2" s="3">
        <f>B2*F2</f>
        <v>0</v>
      </c>
      <c r="H2" s="3" t="s">
        <v>8</v>
      </c>
      <c r="I2" s="3"/>
    </row>
    <row r="3" spans="1:10" x14ac:dyDescent="0.25">
      <c r="A3" s="3" t="s">
        <v>9</v>
      </c>
      <c r="B3" s="3">
        <v>1</v>
      </c>
      <c r="C3" s="14" t="s">
        <v>10</v>
      </c>
      <c r="D3" s="3" t="s">
        <v>11</v>
      </c>
      <c r="E3" s="3"/>
      <c r="F3" s="3"/>
      <c r="G3" s="3">
        <f t="shared" ref="G3:G18" si="0">B3*F3</f>
        <v>0</v>
      </c>
      <c r="H3" s="3" t="s">
        <v>8</v>
      </c>
      <c r="I3" s="3"/>
    </row>
    <row r="4" spans="1:10" x14ac:dyDescent="0.25">
      <c r="A4" s="3" t="s">
        <v>12</v>
      </c>
      <c r="B4" s="3">
        <v>1</v>
      </c>
      <c r="C4" s="17" t="s">
        <v>13</v>
      </c>
      <c r="D4" s="3" t="s">
        <v>14</v>
      </c>
      <c r="E4" s="4" t="s">
        <v>49</v>
      </c>
      <c r="F4" s="3">
        <f>0.09*1200</f>
        <v>108</v>
      </c>
      <c r="G4" s="3">
        <f t="shared" si="0"/>
        <v>108</v>
      </c>
      <c r="H4" s="3" t="s">
        <v>8</v>
      </c>
      <c r="I4" s="3"/>
    </row>
    <row r="5" spans="1:10" x14ac:dyDescent="0.25">
      <c r="A5" s="3" t="s">
        <v>15</v>
      </c>
      <c r="B5" s="3">
        <v>1</v>
      </c>
      <c r="C5" s="17" t="s">
        <v>16</v>
      </c>
      <c r="D5" s="3" t="s">
        <v>14</v>
      </c>
      <c r="E5" s="4" t="s">
        <v>49</v>
      </c>
      <c r="F5" s="3">
        <f t="shared" ref="F5:F10" si="1">0.09*1200</f>
        <v>108</v>
      </c>
      <c r="G5" s="3">
        <f t="shared" si="0"/>
        <v>108</v>
      </c>
      <c r="H5" s="3" t="s">
        <v>8</v>
      </c>
      <c r="I5" s="3"/>
    </row>
    <row r="6" spans="1:10" x14ac:dyDescent="0.25">
      <c r="A6" s="3" t="s">
        <v>17</v>
      </c>
      <c r="B6" s="3">
        <v>1</v>
      </c>
      <c r="C6" s="17" t="s">
        <v>18</v>
      </c>
      <c r="D6" s="3" t="s">
        <v>14</v>
      </c>
      <c r="E6" s="4" t="s">
        <v>49</v>
      </c>
      <c r="F6" s="3">
        <f t="shared" si="1"/>
        <v>108</v>
      </c>
      <c r="G6" s="3">
        <f t="shared" si="0"/>
        <v>108</v>
      </c>
      <c r="H6" s="3" t="s">
        <v>8</v>
      </c>
      <c r="I6" s="3"/>
    </row>
    <row r="7" spans="1:10" x14ac:dyDescent="0.25">
      <c r="A7" s="3" t="s">
        <v>19</v>
      </c>
      <c r="B7" s="3">
        <v>1</v>
      </c>
      <c r="C7" s="15" t="s">
        <v>59</v>
      </c>
      <c r="D7" s="16" t="s">
        <v>60</v>
      </c>
      <c r="E7" s="3"/>
      <c r="F7" s="3"/>
      <c r="G7" s="3">
        <f t="shared" si="0"/>
        <v>0</v>
      </c>
      <c r="H7" s="3" t="s">
        <v>8</v>
      </c>
      <c r="I7" s="3"/>
    </row>
    <row r="8" spans="1:10" x14ac:dyDescent="0.25">
      <c r="A8" s="3" t="s">
        <v>20</v>
      </c>
      <c r="B8" s="3">
        <v>1</v>
      </c>
      <c r="C8" s="17" t="s">
        <v>21</v>
      </c>
      <c r="D8" s="3" t="s">
        <v>14</v>
      </c>
      <c r="E8" s="4" t="s">
        <v>49</v>
      </c>
      <c r="F8" s="3">
        <f t="shared" si="1"/>
        <v>108</v>
      </c>
      <c r="G8" s="3">
        <f t="shared" si="0"/>
        <v>108</v>
      </c>
      <c r="H8" s="3" t="s">
        <v>8</v>
      </c>
      <c r="I8" s="3"/>
    </row>
    <row r="9" spans="1:10" x14ac:dyDescent="0.25">
      <c r="A9" s="3" t="s">
        <v>22</v>
      </c>
      <c r="B9" s="3">
        <v>1</v>
      </c>
      <c r="C9" s="17" t="s">
        <v>23</v>
      </c>
      <c r="D9" s="3" t="s">
        <v>14</v>
      </c>
      <c r="E9" s="4" t="s">
        <v>49</v>
      </c>
      <c r="F9" s="3">
        <f t="shared" si="1"/>
        <v>108</v>
      </c>
      <c r="G9" s="3">
        <f t="shared" si="0"/>
        <v>108</v>
      </c>
      <c r="H9" s="3" t="s">
        <v>8</v>
      </c>
      <c r="I9" s="3"/>
    </row>
    <row r="10" spans="1:10" x14ac:dyDescent="0.25">
      <c r="A10" s="3" t="s">
        <v>24</v>
      </c>
      <c r="B10" s="3">
        <v>1</v>
      </c>
      <c r="C10" s="17" t="s">
        <v>25</v>
      </c>
      <c r="D10" s="3" t="s">
        <v>14</v>
      </c>
      <c r="E10" s="4" t="s">
        <v>49</v>
      </c>
      <c r="F10" s="3">
        <f t="shared" si="1"/>
        <v>108</v>
      </c>
      <c r="G10" s="3">
        <f t="shared" si="0"/>
        <v>108</v>
      </c>
      <c r="H10" s="3" t="s">
        <v>8</v>
      </c>
      <c r="I10" s="3"/>
    </row>
    <row r="11" spans="1:10" x14ac:dyDescent="0.25">
      <c r="A11" s="3" t="s">
        <v>26</v>
      </c>
      <c r="B11" s="3">
        <v>3</v>
      </c>
      <c r="C11" s="17" t="s">
        <v>27</v>
      </c>
      <c r="D11" s="3" t="s">
        <v>28</v>
      </c>
      <c r="E11" s="3"/>
      <c r="F11" s="3"/>
      <c r="G11" s="3">
        <f t="shared" si="0"/>
        <v>0</v>
      </c>
      <c r="H11" s="4" t="s">
        <v>29</v>
      </c>
      <c r="I11" s="4"/>
    </row>
    <row r="12" spans="1:10" x14ac:dyDescent="0.25">
      <c r="A12" s="3" t="s">
        <v>30</v>
      </c>
      <c r="B12" s="3">
        <v>1</v>
      </c>
      <c r="C12" s="17" t="s">
        <v>31</v>
      </c>
      <c r="D12" s="3" t="s">
        <v>32</v>
      </c>
      <c r="E12" s="3"/>
      <c r="F12" s="3"/>
      <c r="G12" s="3">
        <f t="shared" si="0"/>
        <v>0</v>
      </c>
      <c r="H12" s="3" t="s">
        <v>8</v>
      </c>
      <c r="I12" s="3"/>
    </row>
    <row r="13" spans="1:10" x14ac:dyDescent="0.25">
      <c r="A13" s="3" t="s">
        <v>33</v>
      </c>
      <c r="B13" s="3">
        <v>3</v>
      </c>
      <c r="C13" s="17" t="s">
        <v>34</v>
      </c>
      <c r="D13" s="3" t="s">
        <v>32</v>
      </c>
      <c r="E13" s="3"/>
      <c r="F13" s="3"/>
      <c r="G13" s="3">
        <f t="shared" si="0"/>
        <v>0</v>
      </c>
      <c r="H13" s="3" t="s">
        <v>8</v>
      </c>
      <c r="I13" s="3"/>
    </row>
    <row r="14" spans="1:10" x14ac:dyDescent="0.25">
      <c r="A14" s="3" t="s">
        <v>35</v>
      </c>
      <c r="B14" s="3">
        <v>1</v>
      </c>
      <c r="C14" s="17">
        <v>100</v>
      </c>
      <c r="D14" s="3" t="s">
        <v>32</v>
      </c>
      <c r="E14" s="3"/>
      <c r="F14" s="3"/>
      <c r="G14" s="3">
        <f t="shared" si="0"/>
        <v>0</v>
      </c>
      <c r="H14" s="3" t="s">
        <v>8</v>
      </c>
      <c r="I14" s="3"/>
    </row>
    <row r="15" spans="1:10" x14ac:dyDescent="0.25">
      <c r="A15" s="3" t="s">
        <v>36</v>
      </c>
      <c r="B15" s="3">
        <v>2</v>
      </c>
      <c r="C15" s="17">
        <v>39</v>
      </c>
      <c r="D15" s="3" t="s">
        <v>32</v>
      </c>
      <c r="E15" s="3"/>
      <c r="F15" s="3"/>
      <c r="G15" s="3">
        <f t="shared" si="0"/>
        <v>0</v>
      </c>
      <c r="H15" s="3" t="s">
        <v>8</v>
      </c>
      <c r="I15" s="3"/>
      <c r="J15" s="2"/>
    </row>
    <row r="16" spans="1:10" x14ac:dyDescent="0.25">
      <c r="A16" s="3" t="s">
        <v>37</v>
      </c>
      <c r="B16" s="3">
        <v>1</v>
      </c>
      <c r="C16" s="14" t="s">
        <v>38</v>
      </c>
      <c r="D16" s="3" t="s">
        <v>39</v>
      </c>
      <c r="E16" s="3"/>
      <c r="F16" s="3"/>
      <c r="G16" s="3">
        <f t="shared" si="0"/>
        <v>0</v>
      </c>
      <c r="H16" s="3"/>
      <c r="I16" s="3"/>
    </row>
    <row r="17" spans="1:9" x14ac:dyDescent="0.25">
      <c r="A17" s="3" t="s">
        <v>40</v>
      </c>
      <c r="B17" s="3">
        <v>1</v>
      </c>
      <c r="C17" s="14" t="s">
        <v>41</v>
      </c>
      <c r="D17" s="3" t="s">
        <v>42</v>
      </c>
      <c r="E17" s="3"/>
      <c r="F17" s="3"/>
      <c r="G17" s="3">
        <f t="shared" si="0"/>
        <v>0</v>
      </c>
      <c r="H17" s="3"/>
      <c r="I17" s="3"/>
    </row>
    <row r="18" spans="1:9" x14ac:dyDescent="0.25">
      <c r="A18" s="3" t="s">
        <v>43</v>
      </c>
      <c r="B18" s="3">
        <v>1</v>
      </c>
      <c r="C18" s="14" t="s">
        <v>44</v>
      </c>
      <c r="D18" s="3" t="s">
        <v>45</v>
      </c>
      <c r="E18" s="3"/>
      <c r="F18" s="3"/>
      <c r="G18" s="3">
        <f t="shared" si="0"/>
        <v>0</v>
      </c>
      <c r="H18" s="3"/>
      <c r="I18" s="3"/>
    </row>
  </sheetData>
  <hyperlinks>
    <hyperlink ref="E10" r:id="rId1" xr:uid="{00000000-0004-0000-0100-000000000000}"/>
    <hyperlink ref="E9" r:id="rId2" xr:uid="{00000000-0004-0000-0100-000001000000}"/>
    <hyperlink ref="E8" r:id="rId3" xr:uid="{00000000-0004-0000-0100-000002000000}"/>
    <hyperlink ref="E6" r:id="rId4" xr:uid="{00000000-0004-0000-0100-000003000000}"/>
    <hyperlink ref="E5" r:id="rId5" xr:uid="{00000000-0004-0000-0100-000004000000}"/>
    <hyperlink ref="E4" r:id="rId6" xr:uid="{00000000-0004-0000-0100-000005000000}"/>
    <hyperlink ref="H11" r:id="rId7" location="cha_BJTs" xr:uid="{00000000-0004-0000-01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listaComponentesCompra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Aranda</dc:creator>
  <cp:lastModifiedBy>Cristian Aranda</cp:lastModifiedBy>
  <dcterms:created xsi:type="dcterms:W3CDTF">2025-02-27T16:16:04Z</dcterms:created>
  <dcterms:modified xsi:type="dcterms:W3CDTF">2025-03-27T15:23:09Z</dcterms:modified>
</cp:coreProperties>
</file>